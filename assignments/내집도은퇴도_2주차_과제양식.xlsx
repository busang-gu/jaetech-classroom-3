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"/>
  <workbookPr/>
  <bookViews>
    <workbookView xWindow="360" yWindow="30" windowWidth="25755" windowHeight="11595" activeTab="0"/>
  </bookViews>
  <sheets>
    <sheet name="📊 경제적 자유 역산" sheetId="1" r:id="rId1"/>
    <sheet name="🏦 절세 그릇 점검표" sheetId="2" r:id="rId2"/>
    <sheet name="📈 포트폴리오 설계" sheetId="3" r:id="rId3"/>
  </sheets>
  <definedNames/>
  <calcPr calcId="152511"/>
</workbook>
</file>

<file path=xl/sharedStrings.xml><?xml version="1.0" encoding="utf-8"?>
<sst xmlns="http://schemas.openxmlformats.org/spreadsheetml/2006/main" count="96" uniqueCount="96">
  <si>
    <t xml:space="preserve">  PART A  |  나의 기본 정보</t>
  </si>
  <si>
    <t>현재 나이</t>
  </si>
  <si>
    <t>세</t>
  </si>
  <si>
    <t>목표 경제적 자유 나이</t>
  </si>
  <si>
    <t>현재 월 소득 (세후)</t>
  </si>
  <si>
    <t>만원</t>
  </si>
  <si>
    <t>현재 월 지출</t>
  </si>
  <si>
    <t>월 저축 가능 금액</t>
  </si>
  <si>
    <t>예상 수명</t>
  </si>
  <si>
    <t xml:space="preserve">  PART B  |  경제적 자유 역산 계산</t>
  </si>
  <si>
    <t>경제적 자유까지 남은 기간</t>
  </si>
  <si>
    <t>년</t>
  </si>
  <si>
    <t>은퇴 후 생존 기간</t>
  </si>
  <si>
    <t>월 필요 생활비 (은퇴 후)</t>
  </si>
  <si>
    <t>총 필요 자금</t>
  </si>
  <si>
    <t>자동 계산</t>
  </si>
  <si>
    <t>국민연금 예상 수령액 (월)</t>
  </si>
  <si>
    <t>국민연금 총 수령액 (추정)</t>
  </si>
  <si>
    <t>내가 만들어야 할 금액 (GAP)</t>
  </si>
  <si>
    <t>월 저축 시 필요 기간 (단리)</t>
  </si>
  <si>
    <t xml:space="preserve">  PART C  |  이 숫자를 보고 든 생각 (자유롭게 작성)</t>
  </si>
  <si>
    <t xml:space="preserve">  🎯  개별 트레이닝 체크</t>
  </si>
  <si>
    <t>트레이닝 일정 확정 여부</t>
  </si>
  <si>
    <t>○ 확정  /  X 아직</t>
  </si>
  <si>
    <t>확정 일자 / 시간</t>
  </si>
  <si>
    <t>예) 5월 21일 (수) 오후 3:30</t>
  </si>
  <si>
    <t>💪  같이 끝까지 달려봐요! 여러분이라면 할 수 있어요 🔥</t>
  </si>
  <si>
    <t xml:space="preserve">  PART A  |  내 절세 그릇 현황 체크</t>
  </si>
  <si>
    <t>구분</t>
  </si>
  <si>
    <t>CMA</t>
  </si>
  <si>
    <t>종합위탁</t>
  </si>
  <si>
    <t>ISA</t>
  </si>
  <si>
    <t>연금저축</t>
  </si>
  <si>
    <t>보유 여부 (○/X)</t>
  </si>
  <si>
    <t>현재 잔액 (만원)</t>
  </si>
  <si>
    <t>월 납입액 (만원)</t>
  </si>
  <si>
    <t>세제 혜택</t>
  </si>
  <si>
    <t>이자세
발생</t>
  </si>
  <si>
    <t>양도세
발생</t>
  </si>
  <si>
    <t>비과세
200~400만</t>
  </si>
  <si>
    <t>세액공제
13~16.5%</t>
  </si>
  <si>
    <t>세액공제
포함</t>
  </si>
  <si>
    <t>중도 인출</t>
  </si>
  <si>
    <t>자유</t>
  </si>
  <si>
    <t>가능
(일부)</t>
  </si>
  <si>
    <t>가능
(세금)</t>
  </si>
  <si>
    <t>불가
(페널티)</t>
  </si>
  <si>
    <t>핵심 용도</t>
  </si>
  <si>
    <t>비상금
생활비</t>
  </si>
  <si>
    <t>단기
주식투자</t>
  </si>
  <si>
    <t>해외ETF
절세</t>
  </si>
  <si>
    <t>연말정산
세금환급</t>
  </si>
  <si>
    <t>퇴직금
이전</t>
  </si>
  <si>
    <t xml:space="preserve">  PART B  |  일반 계좌에서 내가 내고 있는 세금 추정</t>
  </si>
  <si>
    <t>종합위탁 계좌 잔액</t>
  </si>
  <si>
    <t>직접 입력</t>
  </si>
  <si>
    <t>연 예상 수익률</t>
  </si>
  <si>
    <t>%</t>
  </si>
  <si>
    <t>기본 5% (변경 가능)</t>
  </si>
  <si>
    <t>연 예상 수익금</t>
  </si>
  <si>
    <t>배당소득세 (15.4%)</t>
  </si>
  <si>
    <t>절세 그릇 사용 시 절약 가능</t>
  </si>
  <si>
    <t>≈ 이만큼 더 복리로 굴릴 수 있어요</t>
  </si>
  <si>
    <t xml:space="preserve">  PART C  |  점검하고 든 생각 (자유롭게)</t>
  </si>
  <si>
    <t xml:space="preserve">  포트 A  |  부동산을 위한 포트 (단기·안전 중심)</t>
  </si>
  <si>
    <t>목표: 잔금·취득세·인테리어·이사비 등 실제 집 관련 지출을 위한 자금 관리</t>
  </si>
  <si>
    <t>목표 금액 (총)</t>
  </si>
  <si>
    <t>목표 달성 시기</t>
  </si>
  <si>
    <t>년 후</t>
  </si>
  <si>
    <t>현재 보유 자금</t>
  </si>
  <si>
    <t>월 저축 금액</t>
  </si>
  <si>
    <t>주요 운용 수단</t>
  </si>
  <si>
    <t>(예: CMA, 단기채, 예금)</t>
  </si>
  <si>
    <t xml:space="preserve">  포트 B  |  나를 위한 포트 (장기·복리 중심)</t>
  </si>
  <si>
    <t>목표: 경제적 자유 달성을 위한 장기 복리 자산 — ISA / 연금저축 / 기타 절세 그릇</t>
  </si>
  <si>
    <t>목표 경제적 자유 자금</t>
  </si>
  <si>
    <t>현재 준비된 자금</t>
  </si>
  <si>
    <t>GAP (부족 금액)</t>
  </si>
  <si>
    <t>월 저축 목표</t>
  </si>
  <si>
    <t>주요 운용 그릇</t>
  </si>
  <si>
    <t>(예: ISA, 연금저축, 기타)</t>
  </si>
  <si>
    <t>목표 수익률</t>
  </si>
  <si>
    <t xml:space="preserve">  마무리  |  오늘 과제를 마치고 한 줄 다짐</t>
  </si>
  <si>
    <t>🎯  두 포트폴리오의 균형을 어떻게 잡을지 — 개별 트레이닝에서 내 숫자로 같이 잡아드릴게요!</t>
  </si>
  <si>
    <t>노란 셀에 내 숫자를 직접 입력하세요. 자동으로 계산됩니다.</t>
  </si>
  <si>
    <t>입력</t>
  </si>
  <si>
    <t>입력 (모르면 65 입력)</t>
  </si>
  <si>
    <t>이 GAP을 채우는 방법 — 개별 트레이닝에서 같이 잡아드릴게요</t>
  </si>
  <si>
    <t>노란 셀에 내 현황을 입력하세요. 보유 여부는 ○ / X 로 표시하세요.</t>
  </si>
  <si>
    <t>일반 계좌(종합위탁)에 투자 중인 자산에서 발생하는 세금을 추정해봐요.</t>
  </si>
  <si>
    <t>세 그릇 어떻게 꾸려야 할지, 지금 손해 보고 있는 건 아닌지 — 개별 트레이닝에서 공개합니다</t>
  </si>
  <si>
    <t>부동산 포트와 나를 위한 포트, 두 가지를 동시에 꾸려야 해요.</t>
  </si>
  <si>
    <t>2주차 과제 — 내 포트폴리오 2가지 설계</t>
  </si>
  <si>
    <t>내 집도, 은퇴도 2기 챌린지  ·  재테크 금융쌤  @mz_invest_ssam</t>
  </si>
  <si>
    <t>2주차 과제 — 내 절세 그릇 점검표</t>
  </si>
  <si>
    <t>2주차 과제 — 경제적 자유 역산 계산서</t>
  </si>
</sst>
</file>

<file path=xl/styles.xml><?xml version="1.0" encoding="utf-8"?>
<styleSheet xmlns="http://schemas.openxmlformats.org/spreadsheetml/2006/main">
  <numFmts count="1">
    <numFmt numFmtId="176" formatCode="0.0%"/>
  </numFmts>
  <fonts count="35">
    <font>
      <sz val="11.0"/>
      <name val="맑은 고딕"/>
      <scheme val="minor"/>
      <color theme="1"/>
    </font>
    <font>
      <b/>
      <sz val="15.0"/>
      <name val="맑은 고딕"/>
      <color rgb="FFFFFFFF"/>
    </font>
    <font>
      <sz val="10.0"/>
      <name val="맑은 고딕"/>
      <color rgb="FFC5A572"/>
    </font>
    <font>
      <b/>
      <sz val="11.0"/>
      <name val="맑은 고딕"/>
      <color rgb="FFFFFFFF"/>
    </font>
    <font>
      <b/>
      <sz val="10.0"/>
      <name val="맑은 고딕"/>
      <color rgb="FF2D2419"/>
    </font>
    <font>
      <b/>
      <sz val="12.0"/>
      <name val="맑은 고딕"/>
      <color rgb="FF0070C0"/>
    </font>
    <font>
      <sz val="9.0"/>
      <name val="맑은 고딕"/>
      <color rgb="FF8A7A6A"/>
    </font>
    <font>
      <b/>
      <sz val="12.0"/>
      <name val="맑은 고딕"/>
      <color rgb="FF2D2419"/>
    </font>
    <font>
      <i/>
      <sz val="9.0"/>
      <name val="맑은 고딕"/>
      <color rgb="FF8A7A6A"/>
    </font>
    <font>
      <b/>
      <sz val="13.0"/>
      <name val="맑은 고딕"/>
      <color rgb="FFB85D4D"/>
    </font>
    <font>
      <sz val="10.0"/>
      <name val="맑은 고딕"/>
      <color rgb="FF2D2419"/>
    </font>
    <font>
      <b/>
      <sz val="10.0"/>
      <name val="맑은 고딕"/>
      <color rgb="FFFFFFFF"/>
    </font>
    <font>
      <sz val="9.0"/>
      <name val="맑은 고딕"/>
      <color rgb="FF3F5A33"/>
    </font>
    <font>
      <b/>
      <sz val="12.0"/>
      <name val="맑은 고딕"/>
      <color rgb="FFB85D4D"/>
    </font>
    <font>
      <b/>
      <sz val="14.0"/>
      <name val="맑은 고딕"/>
      <color rgb="FF3F5A33"/>
    </font>
    <font>
      <b/>
      <sz val="10.0"/>
      <name val="맑은 고딕"/>
      <color rgb="FF2A3D22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4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3F5A33"/>
        <bgColor rgb="FF000000"/>
      </patternFill>
    </fill>
    <fill>
      <patternFill patternType="solid">
        <fgColor rgb="FF2A3D22"/>
        <bgColor rgb="FF000000"/>
      </patternFill>
    </fill>
    <fill>
      <patternFill patternType="solid">
        <fgColor rgb="FFFFFBEF"/>
        <bgColor rgb="FF000000"/>
      </patternFill>
    </fill>
    <fill>
      <patternFill patternType="solid">
        <fgColor rgb="FFEEF3E8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AECE7"/>
        <bgColor rgb="FF000000"/>
      </patternFill>
    </fill>
    <fill>
      <patternFill patternType="solid">
        <fgColor rgb="FFB85D4D"/>
        <bgColor rgb="FF000000"/>
      </patternFill>
    </fill>
    <fill>
      <patternFill patternType="solid">
        <fgColor rgb="FF8A7A6A"/>
        <bgColor rgb="FF000000"/>
      </patternFill>
    </fill>
    <fill>
      <patternFill patternType="solid">
        <fgColor rgb="FFF5EDD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5A572"/>
      </left>
      <right style="medium">
        <color rgb="FFC5A572"/>
      </right>
      <top style="medium">
        <color rgb="FFC5A572"/>
      </top>
      <bottom style="medium">
        <color rgb="FFC5A572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medium">
        <color rgb="FFC5A572"/>
      </top>
      <bottom/>
    </border>
    <border>
      <left style="medium">
        <color rgb="FFC5A572"/>
      </left>
      <right/>
      <top/>
      <bottom/>
    </border>
    <border>
      <left/>
      <right style="medium">
        <color rgb="FFC5A572"/>
      </right>
      <top style="medium">
        <color rgb="FFC5A572"/>
      </top>
      <bottom/>
    </border>
    <border>
      <left/>
      <right style="medium">
        <color rgb="FFC5A572"/>
      </right>
      <top/>
      <bottom/>
    </border>
    <border>
      <left style="medium">
        <color rgb="FFC5A572"/>
      </left>
      <right/>
      <top/>
      <bottom style="medium">
        <color rgb="FFC5A572"/>
      </bottom>
    </border>
    <border>
      <left/>
      <right/>
      <top/>
      <bottom style="medium">
        <color rgb="FFC5A572"/>
      </bottom>
    </border>
    <border>
      <left/>
      <right style="medium">
        <color rgb="FFC5A572"/>
      </right>
      <top/>
      <bottom style="medium">
        <color rgb="FFC5A572"/>
      </bottom>
    </border>
    <border>
      <left/>
      <right/>
      <top style="medium">
        <color rgb="FFC5A572"/>
      </top>
      <bottom style="medium">
        <color rgb="FFC5A572"/>
      </bottom>
    </border>
    <border>
      <left/>
      <right style="medium">
        <color rgb="FFC5A572"/>
      </right>
      <top style="medium">
        <color rgb="FFC5A572"/>
      </top>
      <bottom style="medium">
        <color rgb="FFC5A572"/>
      </bottom>
    </border>
    <border>
      <left style="thin">
        <color rgb="FFCCCCCC"/>
      </left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0" fillId="12" borderId="15" applyAlignment="0" applyFont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0" borderId="16" applyAlignment="0" applyFill="0" applyNumberFormat="0" applyProtection="0">
      <alignment vertical="center"/>
    </xf>
    <xf numFmtId="0" fontId="22" fillId="0" borderId="17" applyAlignment="0" applyFill="0" applyNumberFormat="0" applyProtection="0">
      <alignment vertical="center"/>
    </xf>
    <xf numFmtId="0" fontId="23" fillId="0" borderId="18" applyAlignment="0" applyFill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  <xf numFmtId="0" fontId="24" fillId="13" borderId="19" applyAlignment="0" applyNumberFormat="0" applyProtection="0">
      <alignment vertical="center"/>
    </xf>
    <xf numFmtId="0" fontId="25" fillId="14" borderId="20" applyAlignment="0" applyNumberFormat="0" applyProtection="0">
      <alignment vertical="center"/>
    </xf>
    <xf numFmtId="0" fontId="26" fillId="14" borderId="19" applyAlignment="0" applyNumberFormat="0" applyProtection="0">
      <alignment vertical="center"/>
    </xf>
    <xf numFmtId="0" fontId="27" fillId="15" borderId="21" applyAlignment="0" applyNumberFormat="0" applyProtection="0">
      <alignment vertical="center"/>
    </xf>
    <xf numFmtId="0" fontId="28" fillId="0" borderId="22" applyAlignment="0" applyFill="0" applyNumberFormat="0" applyProtection="0">
      <alignment vertical="center"/>
    </xf>
    <xf numFmtId="0" fontId="29" fillId="0" borderId="23" applyAlignment="0" applyFill="0" applyNumberFormat="0" applyProtection="0">
      <alignment vertical="center"/>
    </xf>
    <xf numFmtId="0" fontId="30" fillId="16" borderId="0" applyAlignment="0" applyBorder="0" applyNumberFormat="0" applyProtection="0">
      <alignment vertical="center"/>
    </xf>
    <xf numFmtId="0" fontId="31" fillId="17" borderId="0" applyAlignment="0" applyBorder="0" applyNumberFormat="0" applyProtection="0">
      <alignment vertical="center"/>
    </xf>
    <xf numFmtId="0" fontId="32" fillId="18" borderId="0" applyAlignment="0" applyBorder="0" applyNumberFormat="0" applyProtection="0">
      <alignment vertical="center"/>
    </xf>
    <xf numFmtId="0" fontId="33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33" fillId="22" borderId="0" applyAlignment="0" applyBorder="0" applyNumberFormat="0" applyProtection="0">
      <alignment vertical="center"/>
    </xf>
    <xf numFmtId="0" fontId="33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33" fillId="26" borderId="0" applyAlignment="0" applyBorder="0" applyNumberFormat="0" applyProtection="0">
      <alignment vertical="center"/>
    </xf>
    <xf numFmtId="0" fontId="33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33" fillId="30" borderId="0" applyAlignment="0" applyBorder="0" applyNumberFormat="0" applyProtection="0">
      <alignment vertical="center"/>
    </xf>
    <xf numFmtId="0" fontId="33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33" fillId="34" borderId="0" applyAlignment="0" applyBorder="0" applyNumberFormat="0" applyProtection="0">
      <alignment vertical="center"/>
    </xf>
    <xf numFmtId="0" fontId="33" fillId="35" borderId="0" applyAlignment="0" applyBorder="0" applyNumberFormat="0" applyProtection="0">
      <alignment vertical="center"/>
    </xf>
    <xf numFmtId="0" fontId="0" fillId="36" borderId="0" applyAlignment="0" applyBorder="0" applyNumberFormat="0" applyProtection="0">
      <alignment vertical="center"/>
    </xf>
    <xf numFmtId="0" fontId="0" fillId="37" borderId="0" applyAlignment="0" applyBorder="0" applyNumberFormat="0" applyProtection="0">
      <alignment vertical="center"/>
    </xf>
    <xf numFmtId="0" fontId="33" fillId="38" borderId="0" applyAlignment="0" applyBorder="0" applyNumberFormat="0" applyProtection="0">
      <alignment vertical="center"/>
    </xf>
    <xf numFmtId="0" fontId="33" fillId="39" borderId="0" applyAlignment="0" applyBorder="0" applyNumberFormat="0" applyProtection="0">
      <alignment vertical="center"/>
    </xf>
    <xf numFmtId="0" fontId="0" fillId="40" borderId="0" applyAlignment="0" applyBorder="0" applyNumberFormat="0" applyProtection="0">
      <alignment vertical="center"/>
    </xf>
    <xf numFmtId="0" fontId="0" fillId="41" borderId="0" applyAlignment="0" applyBorder="0" applyNumberFormat="0" applyProtection="0">
      <alignment vertical="center"/>
    </xf>
    <xf numFmtId="0" fontId="33" fillId="42" borderId="0" applyAlignment="0" applyBorder="0" applyNumberFormat="0" applyProtection="0">
      <alignment vertical="center"/>
    </xf>
    <xf numFmtId="0" fontId="34" fillId="0" borderId="0" applyAlignment="0" applyBorder="0" applyFill="0" applyNumberFormat="0" applyProtection="0">
      <alignment vertical="center"/>
    </xf>
  </cellStyleXfs>
  <cellXfs count="51">
    <xf numFmtId="0" fontId="0" fillId="0" borderId="0" xfId="0"/>
    <xf numFmtId="0" fontId="4" fillId="5" borderId="1" xfId="0" applyFill="1" applyBorder="1" applyAlignment="1">
      <alignment horizontal="left" vertical="center"/>
    </xf>
    <xf numFmtId="3" fontId="5" fillId="6" borderId="1" xfId="0" applyNumberFormat="1" applyFill="1" applyBorder="1" applyAlignment="1">
      <alignment horizontal="center" vertical="center"/>
    </xf>
    <xf numFmtId="0" fontId="6" fillId="0" borderId="1" xfId="0" applyBorder="1" applyAlignment="1">
      <alignment horizontal="center" vertical="center"/>
    </xf>
    <xf numFmtId="0" fontId="6" fillId="0" borderId="0" xfId="0" applyAlignment="1">
      <alignment horizontal="center" vertical="center"/>
    </xf>
    <xf numFmtId="3" fontId="7" fillId="7" borderId="1" xfId="0" applyNumberFormat="1" applyFill="1" applyBorder="1" applyAlignment="1">
      <alignment horizontal="center" vertical="center"/>
    </xf>
    <xf numFmtId="0" fontId="3" fillId="9" borderId="1" xfId="0" applyFill="1" applyBorder="1" applyAlignment="1">
      <alignment horizontal="left" vertical="center"/>
    </xf>
    <xf numFmtId="3" fontId="9" fillId="8" borderId="1" xfId="0" applyNumberFormat="1" applyFill="1" applyBorder="1" applyAlignment="1">
      <alignment horizontal="center" vertical="center"/>
    </xf>
    <xf numFmtId="0" fontId="11" fillId="3" borderId="1" xfId="0" applyFill="1" applyBorder="1" applyAlignment="1">
      <alignment horizontal="center" vertical="center"/>
    </xf>
    <xf numFmtId="0" fontId="11" fillId="2" borderId="1" xfId="0" applyFill="1" applyBorder="1" applyAlignment="1">
      <alignment horizontal="center" vertical="center"/>
    </xf>
    <xf numFmtId="0" fontId="11" fillId="10" borderId="1" xfId="0" applyFill="1" applyBorder="1" applyAlignment="1">
      <alignment horizontal="center" vertical="center"/>
    </xf>
    <xf numFmtId="0" fontId="4" fillId="5" borderId="1" xfId="0" applyFill="1" applyBorder="1" applyAlignment="1">
      <alignment horizontal="left" vertical="center" wrapText="1"/>
    </xf>
    <xf numFmtId="0" fontId="5" fillId="6" borderId="1" xfId="0" applyFill="1" applyBorder="1" applyAlignment="1">
      <alignment horizontal="center" vertical="center"/>
    </xf>
    <xf numFmtId="0" fontId="6" fillId="7" borderId="1" xfId="0" applyFill="1" applyBorder="1" applyAlignment="1">
      <alignment horizontal="center" vertical="center"/>
    </xf>
    <xf numFmtId="0" fontId="12" fillId="5" borderId="1" xfId="0" applyFill="1" applyBorder="1" applyAlignment="1">
      <alignment horizontal="center" vertical="center"/>
    </xf>
    <xf numFmtId="176" fontId="5" fillId="6" borderId="1" xfId="0" applyNumberFormat="1" applyFill="1" applyBorder="1" applyAlignment="1">
      <alignment horizontal="center" vertical="center"/>
    </xf>
    <xf numFmtId="0" fontId="11" fillId="9" borderId="1" xfId="0" applyFill="1" applyBorder="1" applyAlignment="1">
      <alignment horizontal="left" vertical="center"/>
    </xf>
    <xf numFmtId="3" fontId="13" fillId="8" borderId="1" xfId="0" applyNumberFormat="1" applyFill="1" applyBorder="1" applyAlignment="1">
      <alignment horizontal="center" vertical="center"/>
    </xf>
    <xf numFmtId="0" fontId="14" fillId="6" borderId="1" xfId="0" applyFill="1" applyBorder="1" applyAlignment="1">
      <alignment horizontal="center" vertical="center"/>
    </xf>
    <xf numFmtId="0" fontId="15" fillId="11" borderId="2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1" fillId="2" borderId="0" xfId="0" applyFill="1" applyAlignment="1">
      <alignment horizontal="center" vertical="center"/>
    </xf>
    <xf numFmtId="0" fontId="3" fillId="3" borderId="0" xfId="0" applyFill="1" applyAlignment="1">
      <alignment horizontal="left" vertical="center"/>
    </xf>
    <xf numFmtId="0" fontId="0" fillId="0" borderId="4" xfId="0" applyBorder="1"/>
    <xf numFmtId="0" fontId="3" fillId="2" borderId="0" xfId="0" applyFill="1" applyAlignment="1">
      <alignment horizontal="left" vertical="center"/>
    </xf>
    <xf numFmtId="0" fontId="8" fillId="0" borderId="1" xfId="0" applyBorder="1" applyAlignment="1">
      <alignment horizontal="left" vertical="center"/>
    </xf>
    <xf numFmtId="0" fontId="0" fillId="0" borderId="3" xfId="0" applyBorder="1"/>
    <xf numFmtId="0" fontId="1" fillId="2" borderId="0" xfId="0" applyFill="1" applyAlignment="1">
      <alignment horizontal="center" vertical="center"/>
    </xf>
    <xf numFmtId="0" fontId="10" fillId="6" borderId="2" xfId="0" applyFill="1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4" borderId="0" xfId="0" applyFill="1" applyAlignment="1">
      <alignment horizontal="left" vertical="center"/>
    </xf>
    <xf numFmtId="0" fontId="2" fillId="3" borderId="0" xfId="0" applyFill="1" applyAlignment="1">
      <alignment horizontal="center" vertical="center"/>
    </xf>
    <xf numFmtId="0" fontId="15" fillId="11" borderId="6" xfId="0" applyFill="1" applyBorder="1" applyAlignment="1">
      <alignment horizontal="center" vertical="center"/>
    </xf>
    <xf numFmtId="0" fontId="15" fillId="11" borderId="0" xfId="0" applyFill="1" applyBorder="1" applyAlignment="1">
      <alignment horizontal="center" vertical="center"/>
    </xf>
    <xf numFmtId="0" fontId="3" fillId="2" borderId="0" xfId="0" applyFill="1" applyAlignment="1">
      <alignment horizontal="center" vertical="center"/>
    </xf>
    <xf numFmtId="0" fontId="6" fillId="0" borderId="0" xfId="0" applyBorder="1" applyAlignment="1">
      <alignment horizontal="center" vertical="center"/>
    </xf>
    <xf numFmtId="0" fontId="8" fillId="0" borderId="14" xfId="0" applyBorder="1" applyAlignment="1">
      <alignment horizontal="center" vertical="center"/>
    </xf>
    <xf numFmtId="0" fontId="8" fillId="0" borderId="0" xfId="0" applyBorder="1" applyAlignment="1">
      <alignment horizontal="center" vertical="center"/>
    </xf>
    <xf numFmtId="0" fontId="10" fillId="4" borderId="0" xfId="0" applyFill="1" applyAlignment="1">
      <alignment horizontal="center" vertical="center"/>
    </xf>
    <xf numFmtId="0" fontId="10" fillId="6" borderId="6" xfId="0" applyFill="1" applyBorder="1" applyAlignment="1">
      <alignment horizontal="center" vertical="top" wrapText="1"/>
    </xf>
    <xf numFmtId="0" fontId="10" fillId="6" borderId="0" xfId="0" applyFill="1" applyBorder="1" applyAlignment="1">
      <alignment horizontal="center" vertical="top" wrapText="1"/>
    </xf>
    <xf numFmtId="0" fontId="3" fillId="3" borderId="0" xfId="0" applyFill="1" applyAlignment="1">
      <alignment horizontal="center" vertical="center"/>
    </xf>
    <xf numFmtId="0" fontId="6" fillId="0" borderId="1" xfId="0" applyBorder="1" applyAlignment="1">
      <alignment horizontal="left" vertical="center" wrapText="1"/>
    </xf>
    <xf numFmtId="0" fontId="6" fillId="0" borderId="0" xfId="0" applyAlignment="1">
      <alignment horizontal="left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4"/>
  <sheetViews>
    <sheetView tabSelected="1" workbookViewId="0">
      <selection activeCell="A29" sqref="A29:XFD29"/>
    </sheetView>
  </sheetViews>
  <sheetFormatPr defaultRowHeight="16.500000"/>
  <cols>
    <col min="1" max="1" width="4.00500011" customWidth="1" outlineLevel="0"/>
    <col min="2" max="2" width="25.75499916" customWidth="1" outlineLevel="0"/>
    <col min="3" max="3" width="18.00499916" customWidth="1" outlineLevel="0"/>
    <col min="4" max="4" width="5.00500011" customWidth="1" outlineLevel="0"/>
    <col min="5" max="5" width="22.00499916" customWidth="1" outlineLevel="0"/>
    <col min="6" max="6" width="18.00499916" customWidth="1" outlineLevel="0"/>
    <col min="7" max="7" width="4.00500011" customWidth="1" outlineLevel="0"/>
  </cols>
  <sheetData>
    <row r="1" ht="9.900000" customHeight="1"/>
    <row r="2" spans="2:7" ht="38.100000" customHeight="1">
      <c r="B2" s="28" t="s">
        <v>95</v>
      </c>
    </row>
    <row r="3" spans="2:7" ht="21.900000" customHeight="1">
      <c r="B3" s="38" t="s">
        <v>93</v>
      </c>
    </row>
    <row r="4" spans="2:7" ht="21.900000" customHeight="1">
      <c r="B4" s="37" t="s">
        <v>84</v>
      </c>
    </row>
    <row r="5" ht="8.100000" customHeight="1"/>
    <row r="6" spans="2:7" ht="26.100000" customHeight="1">
      <c r="B6" s="25" t="s">
        <v>0</v>
      </c>
    </row>
    <row r="7" spans="2:7" ht="27.900000" customHeight="1">
      <c r="B7" s="1" t="s">
        <v>1</v>
      </c>
      <c r="C7" s="2">
        <v>30</v>
      </c>
      <c r="D7" s="3" t="s">
        <v>2</v>
      </c>
      <c r="E7" s="1" t="s">
        <v>3</v>
      </c>
      <c r="F7" s="2">
        <v>55</v>
      </c>
      <c r="G7" s="4" t="s">
        <v>2</v>
      </c>
    </row>
    <row r="8" spans="2:7" ht="27.900000" customHeight="1">
      <c r="B8" s="1" t="s">
        <v>4</v>
      </c>
      <c r="C8" s="2">
        <v>350</v>
      </c>
      <c r="D8" s="3" t="s">
        <v>5</v>
      </c>
      <c r="E8" s="1" t="s">
        <v>6</v>
      </c>
      <c r="F8" s="2">
        <v>250</v>
      </c>
      <c r="G8" s="4" t="s">
        <v>5</v>
      </c>
    </row>
    <row r="9" spans="2:7" ht="27.900000" customHeight="1">
      <c r="B9" s="1" t="s">
        <v>7</v>
      </c>
      <c r="C9" s="2">
        <v>100</v>
      </c>
      <c r="D9" s="3" t="s">
        <v>5</v>
      </c>
      <c r="E9" s="1" t="s">
        <v>8</v>
      </c>
      <c r="F9" s="2">
        <v>85</v>
      </c>
      <c r="G9" s="4" t="s">
        <v>2</v>
      </c>
    </row>
    <row r="10" ht="8.100000" customHeight="1"/>
    <row r="11" spans="2:7" ht="26.100000" customHeight="1">
      <c r="B11" s="25" t="s">
        <v>9</v>
      </c>
    </row>
    <row r="12" spans="2:7" ht="27.900000" customHeight="1">
      <c r="B12" s="1" t="s">
        <v>10</v>
      </c>
      <c r="C12" s="5">
        <f>F7-C7</f>
        <v>25</v>
      </c>
      <c r="D12" s="3" t="s">
        <v>11</v>
      </c>
      <c r="E12" s="26"/>
      <c r="F12" s="24"/>
    </row>
    <row r="13" spans="2:7" ht="27.900000" customHeight="1">
      <c r="B13" s="1" t="s">
        <v>12</v>
      </c>
      <c r="C13" s="5">
        <f>F9-F7</f>
        <v>30</v>
      </c>
      <c r="D13" s="3" t="s">
        <v>11</v>
      </c>
      <c r="E13" s="26"/>
      <c r="F13" s="24"/>
    </row>
    <row r="14" spans="2:7" ht="27.900000" customHeight="1">
      <c r="B14" s="1" t="s">
        <v>13</v>
      </c>
      <c r="C14" s="2">
        <v>250</v>
      </c>
      <c r="D14" s="3" t="s">
        <v>5</v>
      </c>
      <c r="E14" s="26" t="s">
        <v>85</v>
      </c>
      <c r="F14" s="24"/>
    </row>
    <row r="15" spans="2:7" ht="27.900000" customHeight="1">
      <c r="B15" s="1" t="s">
        <v>14</v>
      </c>
      <c r="C15" s="5">
        <f>C14*12*C13</f>
        <v>90000</v>
      </c>
      <c r="D15" s="3" t="s">
        <v>5</v>
      </c>
      <c r="E15" s="26" t="s">
        <v>15</v>
      </c>
      <c r="F15" s="24"/>
    </row>
    <row r="16" spans="2:7" ht="27.900000" customHeight="1">
      <c r="B16" s="1" t="s">
        <v>16</v>
      </c>
      <c r="C16" s="2"/>
      <c r="D16" s="3" t="s">
        <v>5</v>
      </c>
      <c r="E16" s="26" t="s">
        <v>86</v>
      </c>
      <c r="F16" s="24"/>
    </row>
    <row r="17" spans="2:6" ht="27.900000" customHeight="1">
      <c r="B17" s="1" t="s">
        <v>17</v>
      </c>
      <c r="C17" s="5">
        <f>C16*12*C13</f>
        <v>0</v>
      </c>
      <c r="D17" s="3" t="s">
        <v>5</v>
      </c>
      <c r="E17" s="26" t="s">
        <v>15</v>
      </c>
      <c r="F17" s="24"/>
    </row>
    <row r="18" spans="2:6" ht="27.900000" customHeight="1">
      <c r="B18" s="6" t="s">
        <v>18</v>
      </c>
      <c r="C18" s="7">
        <f>C15-C17</f>
        <v>90000</v>
      </c>
      <c r="D18" s="3" t="s">
        <v>5</v>
      </c>
      <c r="E18" s="26" t="s">
        <v>15</v>
      </c>
      <c r="F18" s="24"/>
    </row>
    <row r="19" spans="2:6" ht="27.900000" customHeight="1">
      <c r="B19" s="1" t="s">
        <v>19</v>
      </c>
      <c r="C19" s="5">
        <f>IF(C9&gt;0,C18/(C9*12),"입력 필요")</f>
        <v>75</v>
      </c>
      <c r="D19" s="3" t="s">
        <v>11</v>
      </c>
      <c r="E19" s="26" t="s">
        <v>15</v>
      </c>
      <c r="F19" s="24"/>
    </row>
    <row r="20" ht="8.100000" customHeight="1"/>
    <row r="21" spans="2:6" ht="26.100000" customHeight="1">
      <c r="B21" s="25" t="s">
        <v>20</v>
      </c>
    </row>
    <row r="22" spans="2:6" ht="21.900000" customHeight="1">
      <c r="B22" s="29"/>
      <c r="C22" s="30"/>
      <c r="D22" s="30"/>
      <c r="E22" s="30"/>
      <c r="F22" s="31"/>
    </row>
    <row r="23" spans="2:6" ht="21.900000" customHeight="1">
      <c r="B23" s="32"/>
      <c r="F23" s="33"/>
    </row>
    <row r="24" spans="2:6" ht="21.900000" customHeight="1">
      <c r="B24" s="32"/>
      <c r="F24" s="33"/>
    </row>
    <row r="25" spans="2:6" ht="21.900000" customHeight="1">
      <c r="B25" s="32"/>
      <c r="F25" s="33"/>
    </row>
    <row r="26" spans="2:6" ht="21.900000" customHeight="1">
      <c r="B26" s="34"/>
      <c r="C26" s="35"/>
      <c r="D26" s="35"/>
      <c r="E26" s="35"/>
      <c r="F26" s="36"/>
    </row>
    <row r="27" ht="8.100000" customHeight="1"/>
    <row r="28" spans="2:6" ht="27.900000" customHeight="1">
      <c r="B28" s="22" t="s">
        <v>87</v>
      </c>
    </row>
    <row r="30" spans="2:6" ht="27.900000" customHeight="1">
      <c r="B30" s="23" t="s">
        <v>21</v>
      </c>
    </row>
    <row r="31" spans="2:6" ht="32.100000" customHeight="1">
      <c r="B31" s="1" t="s">
        <v>22</v>
      </c>
      <c r="C31" s="18"/>
      <c r="D31" s="26" t="s">
        <v>23</v>
      </c>
      <c r="E31" s="27"/>
      <c r="F31" s="24"/>
    </row>
    <row r="32" spans="2:6" ht="32.100000" customHeight="1">
      <c r="B32" s="1" t="s">
        <v>24</v>
      </c>
      <c r="C32" s="12"/>
      <c r="D32" s="24"/>
      <c r="E32" s="26" t="s">
        <v>25</v>
      </c>
      <c r="F32" s="24"/>
    </row>
    <row r="33" ht="9.900000" customHeight="1"/>
    <row r="34" spans="2:6" ht="26.100000" customHeight="1">
      <c r="B34" s="19" t="s">
        <v>26</v>
      </c>
      <c r="C34" s="20"/>
      <c r="D34" s="20"/>
      <c r="E34" s="20"/>
      <c r="F34" s="21"/>
    </row>
  </sheetData>
  <mergeCells count="21">
    <mergeCell ref="B2:F2"/>
    <mergeCell ref="B3:F3"/>
    <mergeCell ref="B4:F4"/>
    <mergeCell ref="B6:F6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B21:F21"/>
    <mergeCell ref="B22:F26"/>
    <mergeCell ref="B28:F28"/>
    <mergeCell ref="B30:F30"/>
    <mergeCell ref="D31:F31"/>
    <mergeCell ref="C32:D32"/>
    <mergeCell ref="E32:F32"/>
    <mergeCell ref="B34:F34"/>
  </mergeCells>
  <phoneticPr fontId="1" type="noConversion"/>
  <dataValidations count="1">
    <dataValidation type="list" allowBlank="1" sqref="C31">
      <formula1>"○,X"</formula1>
    </dataValidation>
  </dataValidations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2:G36"/>
  <sheetViews>
    <sheetView workbookViewId="0">
      <selection activeCell="B3" sqref="B3:G3"/>
    </sheetView>
  </sheetViews>
  <sheetFormatPr defaultRowHeight="16.500000"/>
  <cols>
    <col min="1" max="1" width="4.00500011" customWidth="1" outlineLevel="0"/>
    <col min="2" max="2" width="20.00499916" customWidth="1" outlineLevel="0"/>
    <col min="3" max="6" width="14.00500011" customWidth="1" outlineLevel="0"/>
    <col min="7" max="7" width="13.13000011" customWidth="1" outlineLevel="0"/>
  </cols>
  <sheetData>
    <row r="1" ht="9.900000" customHeight="1"/>
    <row r="2" spans="2:7" ht="38.100000" customHeight="1">
      <c r="B2" s="28" t="s">
        <v>94</v>
      </c>
      <c r="C2" s="28"/>
      <c r="D2" s="28"/>
      <c r="E2" s="28"/>
      <c r="F2" s="28"/>
      <c r="G2" s="28"/>
    </row>
    <row r="3" spans="2:7" ht="21.900000" customHeight="1">
      <c r="B3" s="38" t="s">
        <v>93</v>
      </c>
      <c r="C3" s="38"/>
      <c r="D3" s="38"/>
      <c r="E3" s="38"/>
      <c r="F3" s="38"/>
      <c r="G3" s="38"/>
    </row>
    <row r="4" spans="2:7" ht="21.900000" customHeight="1">
      <c r="B4" s="45" t="s">
        <v>88</v>
      </c>
      <c r="C4" s="45"/>
      <c r="D4" s="45"/>
      <c r="E4" s="45"/>
      <c r="F4" s="45"/>
      <c r="G4" s="45"/>
    </row>
    <row r="5" ht="8.100000" customHeight="1"/>
    <row r="6" spans="2:7" ht="26.100000" customHeight="1">
      <c r="B6" s="41" t="s">
        <v>27</v>
      </c>
      <c r="C6" s="41"/>
      <c r="D6" s="41"/>
      <c r="E6" s="41"/>
      <c r="F6" s="41"/>
      <c r="G6" s="41"/>
    </row>
    <row r="7" spans="2:7" ht="30.000000" customHeight="1">
      <c r="B7" s="8" t="s">
        <v>28</v>
      </c>
      <c r="D7" s="9" t="s">
        <v>29</v>
      </c>
      <c r="E7" s="10" t="s">
        <v>30</v>
      </c>
      <c r="F7" s="10" t="s">
        <v>31</v>
      </c>
      <c r="G7" s="9" t="s">
        <v>32</v>
      </c>
    </row>
    <row r="8" spans="2:7" ht="30.000000" customHeight="1">
      <c r="B8" s="11" t="s">
        <v>33</v>
      </c>
      <c r="C8" s="12"/>
      <c r="D8" s="12"/>
      <c r="E8" s="12"/>
      <c r="F8" s="12"/>
      <c r="G8" s="12"/>
    </row>
    <row r="9" spans="2:7" ht="30.000000" customHeight="1">
      <c r="B9" s="11" t="s">
        <v>34</v>
      </c>
      <c r="C9" s="2"/>
      <c r="D9" s="2"/>
      <c r="E9" s="2"/>
      <c r="F9" s="2"/>
      <c r="G9" s="2"/>
    </row>
    <row r="10" spans="2:7" ht="30.000000" customHeight="1">
      <c r="B10" s="11" t="s">
        <v>35</v>
      </c>
      <c r="C10" s="2"/>
      <c r="D10" s="2"/>
      <c r="E10" s="2"/>
      <c r="F10" s="2"/>
      <c r="G10" s="2"/>
    </row>
    <row r="11" spans="2:7" ht="33.900000" customHeight="1">
      <c r="B11" s="11" t="s">
        <v>36</v>
      </c>
      <c r="C11" s="13" t="s">
        <v>37</v>
      </c>
      <c r="D11" s="13" t="s">
        <v>38</v>
      </c>
      <c r="E11" s="14" t="s">
        <v>39</v>
      </c>
      <c r="F11" s="14" t="s">
        <v>40</v>
      </c>
      <c r="G11" s="14" t="s">
        <v>41</v>
      </c>
    </row>
    <row r="12" spans="2:7" ht="33.900000" customHeight="1">
      <c r="B12" s="11" t="s">
        <v>42</v>
      </c>
      <c r="C12" s="13" t="s">
        <v>43</v>
      </c>
      <c r="D12" s="13" t="s">
        <v>43</v>
      </c>
      <c r="E12" s="14" t="s">
        <v>44</v>
      </c>
      <c r="F12" s="14" t="s">
        <v>45</v>
      </c>
      <c r="G12" s="14" t="s">
        <v>46</v>
      </c>
    </row>
    <row r="13" spans="2:7" ht="33.900000" customHeight="1">
      <c r="B13" s="11" t="s">
        <v>47</v>
      </c>
      <c r="C13" s="13" t="s">
        <v>48</v>
      </c>
      <c r="D13" s="13" t="s">
        <v>49</v>
      </c>
      <c r="E13" s="14" t="s">
        <v>50</v>
      </c>
      <c r="F13" s="14" t="s">
        <v>51</v>
      </c>
      <c r="G13" s="14" t="s">
        <v>52</v>
      </c>
    </row>
    <row r="14" ht="8.100000" customHeight="1"/>
    <row r="15" spans="2:7" ht="26.100000" customHeight="1">
      <c r="B15" s="41" t="s">
        <v>53</v>
      </c>
      <c r="C15" s="41"/>
      <c r="D15" s="41"/>
      <c r="E15" s="41"/>
      <c r="F15" s="41"/>
      <c r="G15" s="41"/>
    </row>
    <row r="16" spans="2:7" ht="20.100000" customHeight="1">
      <c r="B16" s="42" t="s">
        <v>89</v>
      </c>
      <c r="C16" s="42"/>
      <c r="D16" s="42"/>
      <c r="E16" s="42"/>
      <c r="F16" s="42"/>
      <c r="G16" s="42"/>
    </row>
    <row r="17" spans="2:7" ht="27.900000" customHeight="1">
      <c r="B17" s="1" t="s">
        <v>54</v>
      </c>
      <c r="C17" s="12">
        <v>1000</v>
      </c>
      <c r="D17" s="3" t="s">
        <v>5</v>
      </c>
      <c r="E17" s="43" t="s">
        <v>55</v>
      </c>
      <c r="F17" s="44"/>
      <c r="G17" s="44"/>
    </row>
    <row r="18" spans="2:7" ht="27.900000" customHeight="1">
      <c r="B18" s="1" t="s">
        <v>56</v>
      </c>
      <c r="C18" s="15">
        <v>0.05</v>
      </c>
      <c r="D18" s="3" t="s">
        <v>57</v>
      </c>
      <c r="E18" s="43" t="s">
        <v>58</v>
      </c>
      <c r="F18" s="44"/>
      <c r="G18" s="44"/>
    </row>
    <row r="19" spans="2:7" ht="27.900000" customHeight="1">
      <c r="B19" s="1" t="s">
        <v>59</v>
      </c>
      <c r="C19" s="5">
        <f>C17*C18</f>
        <v>50</v>
      </c>
      <c r="D19" s="3" t="s">
        <v>5</v>
      </c>
      <c r="E19" s="43" t="s">
        <v>15</v>
      </c>
      <c r="F19" s="44"/>
      <c r="G19" s="44"/>
    </row>
    <row r="20" spans="2:7" ht="27.900000" customHeight="1">
      <c r="B20" s="16" t="s">
        <v>60</v>
      </c>
      <c r="C20" s="17">
        <f>C19*0.154</f>
        <v>7.7</v>
      </c>
      <c r="D20" s="3" t="s">
        <v>5</v>
      </c>
      <c r="E20" s="43" t="s">
        <v>15</v>
      </c>
      <c r="F20" s="44"/>
      <c r="G20" s="44"/>
    </row>
    <row r="21" spans="2:7" ht="27.900000" customHeight="1">
      <c r="B21" s="16" t="s">
        <v>61</v>
      </c>
      <c r="C21" s="17">
        <f>C20</f>
        <v>7.7</v>
      </c>
      <c r="D21" s="3" t="s">
        <v>5</v>
      </c>
      <c r="E21" s="43" t="s">
        <v>62</v>
      </c>
      <c r="F21" s="44"/>
      <c r="G21" s="44"/>
    </row>
    <row r="22" ht="8.100000" customHeight="1"/>
    <row r="23" spans="2:7" ht="26.100000" customHeight="1">
      <c r="B23" s="41" t="s">
        <v>63</v>
      </c>
      <c r="C23" s="41"/>
      <c r="D23" s="41"/>
      <c r="E23" s="41"/>
      <c r="F23" s="41"/>
      <c r="G23" s="41"/>
    </row>
    <row r="24" spans="2:7" ht="21.900000" customHeight="1">
      <c r="B24" s="46"/>
      <c r="C24" s="47"/>
      <c r="D24" s="47"/>
      <c r="E24" s="47"/>
      <c r="F24" s="47"/>
      <c r="G24" s="47"/>
    </row>
    <row r="25" spans="2:7" ht="21.900000" customHeight="1">
      <c r="B25" s="46"/>
      <c r="C25" s="47"/>
      <c r="D25" s="47"/>
      <c r="E25" s="47"/>
      <c r="F25" s="47"/>
      <c r="G25" s="47"/>
    </row>
    <row r="26" spans="2:7" ht="21.900000" customHeight="1">
      <c r="B26" s="46"/>
      <c r="C26" s="47"/>
      <c r="D26" s="47"/>
      <c r="E26" s="47"/>
      <c r="F26" s="47"/>
      <c r="G26" s="47"/>
    </row>
    <row r="27" spans="2:7" ht="21.900000" customHeight="1">
      <c r="B27" s="46"/>
      <c r="C27" s="47"/>
      <c r="D27" s="47"/>
      <c r="E27" s="47"/>
      <c r="F27" s="47"/>
      <c r="G27" s="47"/>
    </row>
    <row r="28" spans="2:7" ht="21.900000" customHeight="1">
      <c r="B28" s="46"/>
      <c r="C28" s="47"/>
      <c r="D28" s="47"/>
      <c r="E28" s="47"/>
      <c r="F28" s="47"/>
      <c r="G28" s="47"/>
    </row>
    <row r="29" ht="8.100000" customHeight="1"/>
    <row r="30" spans="2:7" ht="27.900000" customHeight="1">
      <c r="B30" s="22" t="s">
        <v>90</v>
      </c>
      <c r="C30" s="22"/>
      <c r="D30" s="22"/>
      <c r="E30" s="22"/>
      <c r="F30" s="22"/>
      <c r="G30" s="22"/>
    </row>
    <row r="32" spans="2:7" ht="27.900000" customHeight="1">
      <c r="B32" s="48" t="s">
        <v>21</v>
      </c>
      <c r="C32" s="48"/>
      <c r="D32" s="48"/>
      <c r="E32" s="48"/>
      <c r="F32" s="48"/>
      <c r="G32" s="48"/>
    </row>
    <row r="33" spans="2:7" ht="32.100000" customHeight="1">
      <c r="B33" s="1" t="s">
        <v>22</v>
      </c>
      <c r="C33" s="18"/>
      <c r="D33" s="43" t="s">
        <v>23</v>
      </c>
      <c r="E33" s="44"/>
      <c r="F33" s="44"/>
      <c r="G33" s="44"/>
    </row>
    <row r="34" spans="2:7" ht="32.100000" customHeight="1">
      <c r="B34" s="1" t="s">
        <v>24</v>
      </c>
      <c r="C34" s="12"/>
      <c r="D34" s="24"/>
      <c r="E34" s="43" t="s">
        <v>25</v>
      </c>
      <c r="F34" s="44"/>
      <c r="G34" s="44"/>
    </row>
    <row r="35" ht="9.900000" customHeight="1"/>
    <row r="36" spans="2:7" ht="26.100000" customHeight="1">
      <c r="B36" s="39" t="s">
        <v>26</v>
      </c>
      <c r="C36" s="40"/>
      <c r="D36" s="40"/>
      <c r="E36" s="40"/>
      <c r="F36" s="40"/>
      <c r="G36" s="40"/>
    </row>
  </sheetData>
  <mergeCells count="19">
    <mergeCell ref="B2:G2"/>
    <mergeCell ref="B3:G3"/>
    <mergeCell ref="B4:G4"/>
    <mergeCell ref="B6:G6"/>
    <mergeCell ref="B15:G15"/>
    <mergeCell ref="B16:G16"/>
    <mergeCell ref="E17:G17"/>
    <mergeCell ref="E18:G18"/>
    <mergeCell ref="E19:G19"/>
    <mergeCell ref="E20:G20"/>
    <mergeCell ref="E21:G21"/>
    <mergeCell ref="B23:G23"/>
    <mergeCell ref="B24:G28"/>
    <mergeCell ref="B30:G30"/>
    <mergeCell ref="B32:G32"/>
    <mergeCell ref="D33:G33"/>
    <mergeCell ref="C34:D34"/>
    <mergeCell ref="E34:G34"/>
    <mergeCell ref="B36:G36"/>
  </mergeCells>
  <phoneticPr fontId="1" type="noConversion"/>
  <dataValidations count="1">
    <dataValidation type="list" allowBlank="1" sqref="C33">
      <formula1>"○,X"</formula1>
    </dataValidation>
  </dataValidations>
  <pageMargins left="0.75" right="0.75" top="1.00" bottom="1.00" header="0.50" footer="0.5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B2:F31"/>
  <sheetViews>
    <sheetView workbookViewId="0">
      <selection activeCell="B7" sqref="B7:F7"/>
    </sheetView>
  </sheetViews>
  <sheetFormatPr defaultRowHeight="16.500000"/>
  <cols>
    <col min="1" max="1" width="4.00500011" customWidth="1" outlineLevel="0"/>
    <col min="2" max="2" width="23.37999916" customWidth="1" outlineLevel="0"/>
    <col min="3" max="3" width="17.50499916" customWidth="1" outlineLevel="0"/>
    <col min="4" max="4" width="5.00500011" customWidth="1" outlineLevel="0"/>
    <col min="5" max="5" width="22.00499916" customWidth="1" outlineLevel="0"/>
    <col min="6" max="6" width="14.00500011" customWidth="1" outlineLevel="0"/>
    <col min="7" max="7" width="4.00500011" customWidth="1" outlineLevel="0"/>
  </cols>
  <sheetData>
    <row r="1" ht="9.900000" customHeight="1"/>
    <row r="2" spans="2:6" ht="38.100000" customHeight="1">
      <c r="B2" s="28" t="s">
        <v>92</v>
      </c>
    </row>
    <row r="3" spans="2:6" ht="21.900000" customHeight="1">
      <c r="B3" s="38" t="s">
        <v>93</v>
      </c>
    </row>
    <row r="4" spans="2:6" ht="21.900000" customHeight="1">
      <c r="B4" s="37" t="s">
        <v>91</v>
      </c>
    </row>
    <row r="5" ht="8.100000" customHeight="1"/>
    <row r="6" spans="2:6" ht="26.100000" customHeight="1">
      <c r="B6" s="25" t="s">
        <v>64</v>
      </c>
    </row>
    <row r="7" spans="2:6" ht="20.100000" customHeight="1">
      <c r="B7" s="50" t="s">
        <v>65</v>
      </c>
    </row>
    <row r="8" spans="2:6" ht="27.900000" customHeight="1">
      <c r="B8" s="1" t="s">
        <v>66</v>
      </c>
      <c r="C8" s="2"/>
      <c r="D8" s="49" t="s">
        <v>5</v>
      </c>
      <c r="E8" s="27"/>
      <c r="F8" s="24"/>
    </row>
    <row r="9" spans="2:6" ht="27.900000" customHeight="1">
      <c r="B9" s="1" t="s">
        <v>67</v>
      </c>
      <c r="C9" s="2"/>
      <c r="D9" s="49" t="s">
        <v>68</v>
      </c>
      <c r="E9" s="27"/>
      <c r="F9" s="24"/>
    </row>
    <row r="10" spans="2:6" ht="27.900000" customHeight="1">
      <c r="B10" s="1" t="s">
        <v>69</v>
      </c>
      <c r="C10" s="2"/>
      <c r="D10" s="49" t="s">
        <v>5</v>
      </c>
      <c r="E10" s="27"/>
      <c r="F10" s="24"/>
    </row>
    <row r="11" spans="2:6" ht="27.900000" customHeight="1">
      <c r="B11" s="1" t="s">
        <v>70</v>
      </c>
      <c r="C11" s="2"/>
      <c r="D11" s="49" t="s">
        <v>5</v>
      </c>
      <c r="E11" s="27"/>
      <c r="F11" s="24"/>
    </row>
    <row r="12" spans="2:6" ht="27.900000" customHeight="1">
      <c r="B12" s="1" t="s">
        <v>71</v>
      </c>
      <c r="C12" s="12"/>
      <c r="D12" s="49" t="s">
        <v>72</v>
      </c>
      <c r="E12" s="27"/>
      <c r="F12" s="24"/>
    </row>
    <row r="13" ht="8.100000" customHeight="1"/>
    <row r="14" spans="2:6" ht="26.100000" customHeight="1">
      <c r="B14" s="25" t="s">
        <v>73</v>
      </c>
    </row>
    <row r="15" spans="2:6" ht="20.100000" customHeight="1">
      <c r="B15" s="50" t="s">
        <v>74</v>
      </c>
    </row>
    <row r="16" spans="2:6" ht="27.900000" customHeight="1">
      <c r="B16" s="1" t="s">
        <v>75</v>
      </c>
      <c r="C16" s="2"/>
      <c r="D16" s="49" t="s">
        <v>5</v>
      </c>
      <c r="E16" s="27"/>
      <c r="F16" s="24"/>
    </row>
    <row r="17" spans="2:6" ht="27.900000" customHeight="1">
      <c r="B17" s="1" t="s">
        <v>76</v>
      </c>
      <c r="C17" s="2"/>
      <c r="D17" s="49" t="s">
        <v>5</v>
      </c>
      <c r="E17" s="27"/>
      <c r="F17" s="24"/>
    </row>
    <row r="18" spans="2:6" ht="27.900000" customHeight="1">
      <c r="B18" s="16" t="s">
        <v>77</v>
      </c>
      <c r="C18" s="17" t="str">
        <f>IF(C16&gt;0,C16-C17,"입력 후 자동계산")</f>
        <v>입력 후 자동계산</v>
      </c>
      <c r="D18" s="49" t="s">
        <v>5</v>
      </c>
      <c r="E18" s="27"/>
      <c r="F18" s="24"/>
    </row>
    <row r="19" spans="2:6" ht="27.900000" customHeight="1">
      <c r="B19" s="1" t="s">
        <v>78</v>
      </c>
      <c r="C19" s="2"/>
      <c r="D19" s="49" t="s">
        <v>5</v>
      </c>
      <c r="E19" s="27"/>
      <c r="F19" s="24"/>
    </row>
    <row r="20" spans="2:6" ht="27.900000" customHeight="1">
      <c r="B20" s="1" t="s">
        <v>79</v>
      </c>
      <c r="C20" s="12"/>
      <c r="D20" s="49" t="s">
        <v>80</v>
      </c>
      <c r="E20" s="27"/>
      <c r="F20" s="24"/>
    </row>
    <row r="21" spans="2:6" ht="27.900000" customHeight="1">
      <c r="B21" s="1" t="s">
        <v>81</v>
      </c>
      <c r="C21" s="15">
        <v>0.05</v>
      </c>
      <c r="D21" s="49" t="s">
        <v>57</v>
      </c>
      <c r="E21" s="27"/>
      <c r="F21" s="24"/>
    </row>
    <row r="22" ht="8.100000" customHeight="1"/>
    <row r="23" spans="2:6" ht="26.100000" customHeight="1">
      <c r="B23" s="25" t="s">
        <v>82</v>
      </c>
    </row>
    <row r="24" spans="2:6" ht="21.900000" customHeight="1">
      <c r="B24" s="29"/>
      <c r="C24" s="30"/>
      <c r="D24" s="30"/>
      <c r="E24" s="30"/>
      <c r="F24" s="31"/>
    </row>
    <row r="25" spans="2:6" ht="21.900000" customHeight="1">
      <c r="B25" s="32"/>
      <c r="F25" s="33"/>
    </row>
    <row r="26" spans="2:6" ht="21.900000" customHeight="1">
      <c r="B26" s="32"/>
      <c r="F26" s="33"/>
    </row>
    <row r="27" spans="2:6" ht="21.900000" customHeight="1">
      <c r="B27" s="34"/>
      <c r="C27" s="35"/>
      <c r="D27" s="35"/>
      <c r="E27" s="35"/>
      <c r="F27" s="36"/>
    </row>
    <row r="28" ht="8.100000" customHeight="1"/>
    <row r="29" spans="2:6" ht="27.900000" customHeight="1">
      <c r="B29" s="22" t="s">
        <v>83</v>
      </c>
    </row>
    <row r="31" spans="2:6" ht="26.100000" customHeight="1">
      <c r="B31" s="19" t="s">
        <v>26</v>
      </c>
      <c r="C31" s="20"/>
      <c r="D31" s="20"/>
      <c r="E31" s="20"/>
      <c r="F31" s="21"/>
    </row>
  </sheetData>
  <mergeCells count="22">
    <mergeCell ref="B2:F2"/>
    <mergeCell ref="B3:F3"/>
    <mergeCell ref="B4:F4"/>
    <mergeCell ref="B6:F6"/>
    <mergeCell ref="B7:F7"/>
    <mergeCell ref="D8:F8"/>
    <mergeCell ref="D9:F9"/>
    <mergeCell ref="D10:F10"/>
    <mergeCell ref="D11:F11"/>
    <mergeCell ref="D12:F12"/>
    <mergeCell ref="B14:F14"/>
    <mergeCell ref="B15:F15"/>
    <mergeCell ref="D16:F16"/>
    <mergeCell ref="D17:F17"/>
    <mergeCell ref="D18:F18"/>
    <mergeCell ref="D19:F19"/>
    <mergeCell ref="D20:F20"/>
    <mergeCell ref="D21:F21"/>
    <mergeCell ref="B23:F23"/>
    <mergeCell ref="B24:F27"/>
    <mergeCell ref="B29:F29"/>
    <mergeCell ref="B31:F31"/>
  </mergeCells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busang_gu</cp:lastModifiedBy>
  <dcterms:modified xsi:type="dcterms:W3CDTF">2026-06-07T12:24:44Z</dcterms:modified>
</cp:coreProperties>
</file>